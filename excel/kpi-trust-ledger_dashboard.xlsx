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q_cert_chart" sheetId="2" state="visible" r:id="rId2"/>
    <sheet xmlns:r="http://schemas.openxmlformats.org/officeDocument/2006/relationships" name="q_backlog" sheetId="3" state="visible" r:id="rId3"/>
    <sheet xmlns:r="http://schemas.openxmlformats.org/officeDocument/2006/relationships" name="q_by_source" sheetId="4" state="visible" r:id="rId4"/>
    <sheet xmlns:r="http://schemas.openxmlformats.org/officeDocument/2006/relationships" name="q_variance" sheetId="5" state="visible" r:id="rId5"/>
    <sheet xmlns:r="http://schemas.openxmlformats.org/officeDocument/2006/relationships" name="q_row_counts" sheetId="6" state="visible" r:id="rId6"/>
    <sheet xmlns:r="http://schemas.openxmlformats.org/officeDocument/2006/relationships" name="q_severity" sheetId="7" state="visible" r:id="rId7"/>
    <sheet xmlns:r="http://schemas.openxmlformats.org/officeDocument/2006/relationships" name="q_monthly" sheetId="8" state="visible" r:id="rId8"/>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F172A"/>
      <sz val="22"/>
    </font>
    <font>
      <name val="Calibri"/>
      <color rgb="00475569"/>
      <sz val="10"/>
    </font>
    <font>
      <b val="1"/>
      <color rgb="00475569"/>
      <sz val="7"/>
    </font>
    <font>
      <b val="1"/>
      <color rgb="000F172A"/>
      <sz val="16"/>
    </font>
    <font>
      <color rgb="00475569"/>
      <sz val="7"/>
    </font>
    <font>
      <b val="1"/>
      <color rgb="00B91C1C"/>
      <sz val="16"/>
    </font>
    <font>
      <b val="1"/>
      <color rgb="00B45309"/>
      <sz val="16"/>
    </font>
    <font>
      <b val="1"/>
    </font>
    <font>
      <color rgb="00475569"/>
      <sz val="8"/>
    </font>
    <font>
      <name val="Calibri"/>
      <b val="1"/>
      <color rgb="000F172A"/>
      <sz val="11"/>
    </font>
    <font>
      <name val="Calibri"/>
      <color rgb="00475569"/>
      <sz val="9"/>
    </font>
    <font>
      <name val="Calibri"/>
      <color rgb="00475569"/>
      <sz val="8"/>
    </font>
  </fonts>
  <fills count="4">
    <fill>
      <patternFill/>
    </fill>
    <fill>
      <patternFill patternType="gray125"/>
    </fill>
    <fill>
      <patternFill patternType="solid">
        <fgColor rgb="00F1F5F9"/>
      </patternFill>
    </fill>
    <fill>
      <patternFill patternType="solid">
        <f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0" fillId="3" borderId="0" pivotButton="0" quotePrefix="0" xfId="0"/>
    <xf numFmtId="0" fontId="1" fillId="3" borderId="0" applyAlignment="1" pivotButton="0" quotePrefix="0" xfId="0">
      <alignment vertical="top" wrapText="1"/>
    </xf>
    <xf numFmtId="0" fontId="2" fillId="3" borderId="0" applyAlignment="1" pivotButton="0" quotePrefix="0" xfId="0">
      <alignment vertical="top" wrapText="1"/>
    </xf>
    <xf numFmtId="0" fontId="3" fillId="2" borderId="1" pivotButton="0" quotePrefix="0" xfId="0"/>
    <xf numFmtId="0" fontId="0" fillId="2" borderId="1" pivotButton="0" quotePrefix="0" xfId="0"/>
    <xf numFmtId="0" fontId="4" fillId="2" borderId="1" pivotButton="0" quotePrefix="0" xfId="0"/>
    <xf numFmtId="0" fontId="6" fillId="2" borderId="1" pivotButton="0" quotePrefix="0" xfId="0"/>
    <xf numFmtId="0" fontId="5" fillId="2" borderId="1" applyAlignment="1" pivotButton="0" quotePrefix="0" xfId="0">
      <alignment vertical="top" wrapText="1"/>
    </xf>
    <xf numFmtId="0" fontId="7" fillId="2" borderId="1" pivotButton="0" quotePrefix="0" xfId="0"/>
    <xf numFmtId="0" fontId="9" fillId="3" borderId="0" applyAlignment="1" pivotButton="0" quotePrefix="0" xfId="0">
      <alignment vertical="top" wrapText="1"/>
    </xf>
    <xf numFmtId="0" fontId="10" fillId="3" borderId="0" applyAlignment="1" pivotButton="0" quotePrefix="0" xfId="0">
      <alignment vertical="top" wrapText="1"/>
    </xf>
    <xf numFmtId="0" fontId="11" fillId="3" borderId="0" applyAlignment="1" pivotButton="0" quotePrefix="0" xfId="0">
      <alignment vertical="top" wrapText="1"/>
    </xf>
    <xf numFmtId="0" fontId="12" fillId="3" borderId="0"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How many sources agree, per KPI</a:t>
            </a:r>
          </a:p>
        </rich>
      </tx>
    </title>
    <plotArea>
      <barChart>
        <barDir val="col"/>
        <grouping val="stacked"/>
        <ser>
          <idx val="0"/>
          <order val="0"/>
          <tx>
            <strRef>
              <f>'q_cert_chart'!B1</f>
            </strRef>
          </tx>
          <spPr>
            <a:solidFill xmlns:a="http://schemas.openxmlformats.org/drawingml/2006/main">
              <a:srgbClr val="22C55E"/>
            </a:solidFill>
            <a:ln xmlns:a="http://schemas.openxmlformats.org/drawingml/2006/main">
              <a:noFill/>
              <a:prstDash val="solid"/>
            </a:ln>
          </spPr>
          <invertIfNegative val="0"/>
          <cat>
            <numRef>
              <f>'q_cert_chart'!$A$2:$A$7</f>
            </numRef>
          </cat>
          <val>
            <numRef>
              <f>'q_cert_chart'!$B$2:$B$7</f>
            </numRef>
          </val>
        </ser>
        <ser>
          <idx val="1"/>
          <order val="1"/>
          <tx>
            <strRef>
              <f>'q_cert_chart'!C1</f>
            </strRef>
          </tx>
          <spPr>
            <a:solidFill xmlns:a="http://schemas.openxmlformats.org/drawingml/2006/main">
              <a:srgbClr val="EF4444"/>
            </a:solidFill>
            <a:ln xmlns:a="http://schemas.openxmlformats.org/drawingml/2006/main">
              <a:noFill/>
              <a:prstDash val="solid"/>
            </a:ln>
          </spPr>
          <invertIfNegative val="0"/>
          <cat>
            <numRef>
              <f>'q_cert_chart'!$A$2:$A$7</f>
            </numRef>
          </cat>
          <val>
            <numRef>
              <f>'q_cert_chart'!$C$2:$C$7</f>
            </numRef>
          </val>
        </ser>
        <gapWidth val="150"/>
        <overlap val="10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majorTickMark val="none"/>
        <minorTickMark val="none"/>
        <crossAx val="10"/>
        <crosses val="autoZero"/>
      </valAx>
    </plotArea>
    <legend>
      <legendPos val="b"/>
      <overlay val="0"/>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One question, four answers</a:t>
            </a:r>
          </a:p>
        </rich>
      </tx>
    </title>
    <plotArea>
      <barChart>
        <barDir val="col"/>
        <grouping val="clustered"/>
        <ser>
          <idx val="0"/>
          <order val="0"/>
          <tx>
            <strRef>
              <f>'q_backlog'!B1</f>
            </strRef>
          </tx>
          <spPr>
            <a:solidFill xmlns:a="http://schemas.openxmlformats.org/drawingml/2006/main">
              <a:srgbClr val="F59E0B"/>
            </a:solidFill>
            <a:ln xmlns:a="http://schemas.openxmlformats.org/drawingml/2006/main">
              <a:noFill/>
              <a:prstDash val="solid"/>
            </a:ln>
          </spPr>
          <invertIfNegative val="0"/>
          <cat>
            <numRef>
              <f>'q_backlog'!$A$2:$A$5</f>
            </numRef>
          </cat>
          <val>
            <numRef>
              <f>'q_backlog'!$B$2:$B$5</f>
            </numRef>
          </val>
        </ser>
        <gapWidth val="6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title>
          <tx>
            <rich>
              <a:bodyPr xmlns:a="http://schemas.openxmlformats.org/drawingml/2006/main"/>
              <a:p xmlns:a="http://schemas.openxmlformats.org/drawingml/2006/main">
                <a:pPr>
                  <a:defRPr/>
                </a:pPr>
                <a:r>
                  <a:t>Open appeals reported</a:t>
                </a:r>
              </a:p>
            </rich>
          </tx>
        </title>
        <majorTickMark val="none"/>
        <minorTickMark val="none"/>
        <crossAx val="10"/>
        <crosses val="autoZero"/>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Reconciliation rate by source</a:t>
            </a:r>
          </a:p>
        </rich>
      </tx>
    </title>
    <plotArea>
      <barChart>
        <barDir val="col"/>
        <grouping val="clustered"/>
        <ser>
          <idx val="0"/>
          <order val="0"/>
          <tx>
            <strRef>
              <f>'q_by_source'!B1</f>
            </strRef>
          </tx>
          <spPr>
            <a:solidFill xmlns:a="http://schemas.openxmlformats.org/drawingml/2006/main">
              <a:srgbClr val="3B82F6"/>
            </a:solidFill>
            <a:ln xmlns:a="http://schemas.openxmlformats.org/drawingml/2006/main">
              <a:noFill/>
              <a:prstDash val="solid"/>
            </a:ln>
          </spPr>
          <invertIfNegative val="0"/>
          <cat>
            <numRef>
              <f>'q_by_source'!$A$2:$A$4</f>
            </numRef>
          </cat>
          <val>
            <numRef>
              <f>'q_by_source'!$B$2:$B$4</f>
            </numRef>
          </val>
        </ser>
        <gapWidth val="6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title>
          <tx>
            <rich>
              <a:bodyPr xmlns:a="http://schemas.openxmlformats.org/drawingml/2006/main"/>
              <a:p xmlns:a="http://schemas.openxmlformats.org/drawingml/2006/main">
                <a:pPr>
                  <a:defRPr/>
                </a:pPr>
                <a:r>
                  <a:t>Within tolerance %</a:t>
                </a:r>
              </a:p>
            </rich>
          </tx>
        </title>
        <majorTickMark val="none"/>
        <minorTickMark val="none"/>
        <crossAx val="10"/>
        <crosses val="autoZero"/>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Largest variances</a:t>
            </a:r>
          </a:p>
        </rich>
      </tx>
    </title>
    <plotArea>
      <barChart>
        <barDir val="bar"/>
        <grouping val="clustered"/>
        <ser>
          <idx val="0"/>
          <order val="0"/>
          <tx>
            <strRef>
              <f>'q_variance'!B1</f>
            </strRef>
          </tx>
          <spPr>
            <a:solidFill xmlns:a="http://schemas.openxmlformats.org/drawingml/2006/main">
              <a:srgbClr val="EF4444"/>
            </a:solidFill>
            <a:ln xmlns:a="http://schemas.openxmlformats.org/drawingml/2006/main">
              <a:noFill/>
              <a:prstDash val="solid"/>
            </a:ln>
          </spPr>
          <invertIfNegative val="0"/>
          <cat>
            <numRef>
              <f>'q_variance'!$A$2:$A$14</f>
            </numRef>
          </cat>
          <val>
            <numRef>
              <f>'q_variance'!$B$2:$B$14</f>
            </numRef>
          </val>
        </ser>
        <gapWidth val="60"/>
        <axId val="10"/>
        <axId val="100"/>
      </barChart>
      <catAx>
        <axId val="10"/>
        <scaling>
          <orientation val="minMax"/>
        </scaling>
        <axPos val="l"/>
        <majorTickMark val="none"/>
        <minorTickMark val="none"/>
        <tickLblPos val="low"/>
        <crossAx val="100"/>
        <crosses val="autoZero"/>
        <lblOffset val="100"/>
      </catAx>
      <valAx>
        <axId val="100"/>
        <scaling>
          <orientation val="minMax"/>
        </scaling>
        <axPos val="l"/>
        <majorGridlines/>
        <title>
          <tx>
            <rich>
              <a:bodyPr xmlns:a="http://schemas.openxmlformats.org/drawingml/2006/main"/>
              <a:p xmlns:a="http://schemas.openxmlformats.org/drawingml/2006/main">
                <a:pPr>
                  <a:defRPr/>
                </a:pPr>
                <a:r>
                  <a:t>Variance from certified value</a:t>
                </a:r>
              </a:p>
            </rich>
          </tx>
        </title>
        <majorTickMark val="none"/>
        <minorTickMark val="none"/>
        <crossAx val="10"/>
        <crosses val="autoZero"/>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Row counts by source</a:t>
            </a:r>
          </a:p>
        </rich>
      </tx>
    </title>
    <plotArea>
      <barChart>
        <barDir val="col"/>
        <grouping val="clustered"/>
        <ser>
          <idx val="0"/>
          <order val="0"/>
          <tx>
            <strRef>
              <f>'q_row_counts'!B1</f>
            </strRef>
          </tx>
          <spPr>
            <a:solidFill xmlns:a="http://schemas.openxmlformats.org/drawingml/2006/main">
              <a:srgbClr val="3B82F6"/>
            </a:solidFill>
            <a:ln xmlns:a="http://schemas.openxmlformats.org/drawingml/2006/main">
              <a:noFill/>
              <a:prstDash val="solid"/>
            </a:ln>
          </spPr>
          <invertIfNegative val="0"/>
          <cat>
            <numRef>
              <f>'q_row_counts'!$A$2:$A$5</f>
            </numRef>
          </cat>
          <val>
            <numRef>
              <f>'q_row_counts'!$B$2:$B$5</f>
            </numRef>
          </val>
        </ser>
        <gapWidth val="60"/>
        <axId val="10"/>
        <axId val="100"/>
      </barChart>
      <catAx>
        <axId val="10"/>
        <scaling>
          <orientation val="minMax"/>
        </scaling>
        <axPos val="l"/>
        <majorTickMark val="none"/>
        <minorTickMark val="none"/>
        <crossAx val="100"/>
        <crosses val="autoZero"/>
        <lblOffset val="100"/>
      </catAx>
      <valAx>
        <axId val="100"/>
        <scaling>
          <orientation val="minMax"/>
          <min val="0"/>
        </scaling>
        <axPos val="l"/>
        <majorGridlines/>
        <title>
          <tx>
            <rich>
              <a:bodyPr xmlns:a="http://schemas.openxmlformats.org/drawingml/2006/main"/>
              <a:p xmlns:a="http://schemas.openxmlformats.org/drawingml/2006/main">
                <a:pPr>
                  <a:defRPr/>
                </a:pPr>
                <a:r>
                  <a:t>Rows in source</a:t>
                </a:r>
              </a:p>
            </rich>
          </tx>
        </title>
        <majorTickMark val="none"/>
        <minorTickMark val="none"/>
        <crossAx val="10"/>
        <crosses val="autoZero"/>
      </valAx>
    </plotArea>
    <plotVisOnly val="1"/>
    <dispBlanksAs val="gap"/>
  </chart>
</chartSpace>
</file>

<file path=xl/charts/chart6.xml><?xml version="1.0" encoding="utf-8"?>
<chartSpace xmlns="http://schemas.openxmlformats.org/drawingml/2006/chart">
  <style val="2"/>
  <chart>
    <title>
      <tx>
        <rich>
          <a:bodyPr xmlns:a="http://schemas.openxmlformats.org/drawingml/2006/main"/>
          <a:p xmlns:a="http://schemas.openxmlformats.org/drawingml/2006/main">
            <a:pPr>
              <a:defRPr/>
            </a:pPr>
            <a:r>
              <a:t>Exceptions by severity</a:t>
            </a:r>
          </a:p>
        </rich>
      </tx>
    </title>
    <plotArea>
      <doughnutChart>
        <varyColors val="1"/>
        <ser>
          <idx val="0"/>
          <order val="0"/>
          <tx>
            <strRef>
              <f>'q_severity'!B1</f>
            </strRef>
          </tx>
          <spPr>
            <a:ln xmlns:a="http://schemas.openxmlformats.org/drawingml/2006/main">
              <a:prstDash val="solid"/>
            </a:ln>
          </spPr>
          <cat>
            <numRef>
              <f>'q_severity'!$A$2:$A$4</f>
            </numRef>
          </cat>
          <val>
            <numRef>
              <f>'q_severity'!$B$2:$B$4</f>
            </numRef>
          </val>
        </ser>
        <firstSliceAng val="0"/>
        <holeSize val="55"/>
      </doughnutChart>
    </plotArea>
    <legend>
      <legendPos val="b"/>
      <overlay val="0"/>
    </legend>
    <plotVisOnly val="1"/>
    <dispBlanksAs val="gap"/>
  </chart>
</chartSpace>
</file>

<file path=xl/charts/chart7.xml><?xml version="1.0" encoding="utf-8"?>
<chartSpace xmlns="http://schemas.openxmlformats.org/drawingml/2006/chart">
  <style val="2"/>
  <chart>
    <title>
      <tx>
        <rich>
          <a:bodyPr xmlns:a="http://schemas.openxmlformats.org/drawingml/2006/main"/>
          <a:p xmlns:a="http://schemas.openxmlformats.org/drawingml/2006/main">
            <a:pPr>
              <a:defRPr/>
            </a:pPr>
            <a:r>
              <a:t>Certified reporting layer over time</a:t>
            </a:r>
          </a:p>
        </rich>
      </tx>
    </title>
    <plotArea>
      <lineChart>
        <grouping val="standard"/>
        <ser>
          <idx val="0"/>
          <order val="0"/>
          <tx>
            <strRef>
              <f>'q_monthly'!B1</f>
            </strRef>
          </tx>
          <spPr>
            <a:ln xmlns:a="http://schemas.openxmlformats.org/drawingml/2006/main" w="26000">
              <a:solidFill>
                <a:srgbClr val="3B82F6"/>
              </a:solidFill>
              <a:prstDash val="solid"/>
            </a:ln>
          </spPr>
          <marker>
            <symbol val="none"/>
            <spPr>
              <a:ln xmlns:a="http://schemas.openxmlformats.org/drawingml/2006/main">
                <a:prstDash val="solid"/>
              </a:ln>
            </spPr>
          </marker>
          <cat>
            <numRef>
              <f>'q_monthly'!$A$2:$A$7</f>
            </numRef>
          </cat>
          <val>
            <numRef>
              <f>'q_monthly'!$B$2:$B$7</f>
            </numRef>
          </val>
          <smooth val="0"/>
        </ser>
        <axId val="10"/>
        <axId val="100"/>
      </lineChart>
      <barChart>
        <barDir val="col"/>
        <grouping val="clustered"/>
        <ser>
          <idx val="1"/>
          <order val="1"/>
          <tx>
            <strRef>
              <f>'q_monthly'!C1</f>
            </strRef>
          </tx>
          <spPr>
            <a:solidFill xmlns:a="http://schemas.openxmlformats.org/drawingml/2006/main">
              <a:srgbClr val="94A3B8"/>
            </a:solidFill>
            <a:ln xmlns:a="http://schemas.openxmlformats.org/drawingml/2006/main">
              <a:noFill/>
              <a:prstDash val="solid"/>
            </a:ln>
          </spPr>
          <invertIfNegative val="0"/>
          <cat>
            <numRef>
              <f>'q_monthly'!$A$2:$A$7</f>
            </numRef>
          </cat>
          <val>
            <numRef>
              <f>'q_monthly'!$C$2:$C$7</f>
            </numRef>
          </val>
        </ser>
        <ser>
          <idx val="2"/>
          <order val="2"/>
          <tx>
            <strRef>
              <f>'q_monthly'!D1</f>
            </strRef>
          </tx>
          <spPr>
            <a:solidFill xmlns:a="http://schemas.openxmlformats.org/drawingml/2006/main">
              <a:srgbClr val="F59E0B"/>
            </a:solidFill>
            <a:ln xmlns:a="http://schemas.openxmlformats.org/drawingml/2006/main">
              <a:noFill/>
              <a:prstDash val="solid"/>
            </a:ln>
          </spPr>
          <invertIfNegative val="0"/>
          <cat>
            <numRef>
              <f>'q_monthly'!$A$2:$A$7</f>
            </numRef>
          </cat>
          <val>
            <numRef>
              <f>'q_monthly'!$D$2:$D$7</f>
            </numRef>
          </val>
        </ser>
        <gapWidth val="60"/>
        <axId val="10"/>
        <axId val="200"/>
      </barChart>
      <catAx>
        <axId val="10"/>
        <scaling>
          <orientation val="minMax"/>
        </scaling>
        <axPos val="l"/>
        <majorTickMark val="none"/>
        <minorTickMark val="none"/>
        <crossAx val="100"/>
        <crosses val="autoZero"/>
        <lblOffset val="100"/>
      </catAx>
      <valAx>
        <axId val="100"/>
        <scaling>
          <orientation val="minMax"/>
        </scaling>
        <axPos val="l"/>
        <majorGridlines/>
        <title>
          <tx>
            <rich>
              <a:bodyPr xmlns:a="http://schemas.openxmlformats.org/drawingml/2006/main"/>
              <a:p xmlns:a="http://schemas.openxmlformats.org/drawingml/2006/main">
                <a:pPr>
                  <a:defRPr/>
                </a:pPr>
                <a:r>
                  <a:t>SLA %</a:t>
                </a:r>
              </a:p>
            </rich>
          </tx>
        </title>
        <majorTickMark val="none"/>
        <minorTickMark val="none"/>
        <crossAx val="10"/>
        <crosses val="autoZero"/>
      </valAx>
      <valAx>
        <axId val="200"/>
        <scaling>
          <orientation val="minMax"/>
          <min val="0"/>
        </scaling>
        <axPos val="l"/>
        <title>
          <tx>
            <rich>
              <a:bodyPr xmlns:a="http://schemas.openxmlformats.org/drawingml/2006/main"/>
              <a:p xmlns:a="http://schemas.openxmlformats.org/drawingml/2006/main">
                <a:pPr>
                  <a:defRPr/>
                </a:pPr>
                <a:r>
                  <a:t>Appeals</a:t>
                </a:r>
              </a:p>
            </rich>
          </tx>
        </title>
        <majorTickMark val="none"/>
        <minorTickMark val="none"/>
        <crossAx val="10"/>
        <crosses val="max"/>
      </valAx>
    </plotArea>
    <legend>
      <legendPos val="b"/>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s>
</file>

<file path=xl/drawings/drawing1.xml><?xml version="1.0" encoding="utf-8"?>
<wsDr xmlns="http://schemas.openxmlformats.org/drawingml/2006/spreadsheetDrawing">
  <oneCellAnchor>
    <from>
      <col>1</col>
      <colOff>0</colOff>
      <row>17</row>
      <rowOff>0</rowOff>
    </from>
    <ext cx="8640000" cy="338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38</row>
      <rowOff>0</rowOff>
    </from>
    <ext cx="8640000" cy="338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59</row>
      <rowOff>0</rowOff>
    </from>
    <ext cx="8640000" cy="3384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80</row>
      <rowOff>0</rowOff>
    </from>
    <ext cx="8640000" cy="3384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col>
      <colOff>0</colOff>
      <row>101</row>
      <rowOff>0</rowOff>
    </from>
    <ext cx="8640000" cy="3384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col>
      <colOff>0</colOff>
      <row>122</row>
      <rowOff>0</rowOff>
    </from>
    <ext cx="8640000" cy="3384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1</col>
      <colOff>0</colOff>
      <row>143</row>
      <rowOff>0</rowOff>
    </from>
    <ext cx="8640000" cy="3384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3B82F6"/>
    <outlinePr summaryBelow="1" summaryRight="1"/>
    <pageSetUpPr fitToPage="1"/>
  </sheetPr>
  <dimension ref="A1:X180"/>
  <sheetViews>
    <sheetView showGridLines="0" workbookViewId="0">
      <selection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row>
    <row r="2" ht="30" customHeight="1">
      <c r="A2" s="1" t="n"/>
      <c r="B2" s="2" t="inlineStr">
        <is>
          <t>KPI Trust Ledger</t>
        </is>
      </c>
      <c r="C2" s="1" t="n"/>
      <c r="D2" s="1" t="n"/>
      <c r="E2" s="1" t="n"/>
      <c r="F2" s="1" t="n"/>
      <c r="G2" s="1" t="n"/>
      <c r="H2" s="1" t="n"/>
      <c r="I2" s="1" t="n"/>
      <c r="J2" s="1" t="n"/>
      <c r="K2" s="1" t="n"/>
      <c r="L2" s="1" t="n"/>
      <c r="M2" s="1" t="n"/>
      <c r="N2" s="1" t="n"/>
      <c r="O2" s="1" t="n"/>
      <c r="P2" s="1" t="n"/>
      <c r="Q2" s="1" t="n"/>
      <c r="R2" s="1" t="n"/>
      <c r="S2" s="1" t="n"/>
      <c r="T2" s="1" t="n"/>
      <c r="U2" s="1" t="n"/>
      <c r="V2" s="1" t="n"/>
      <c r="W2" s="1" t="n"/>
      <c r="X2" s="1" t="n"/>
    </row>
    <row r="3" ht="14" customHeight="1">
      <c r="A3" s="1" t="n"/>
      <c r="B3" s="3" t="inlineStr">
        <is>
          <t>Lone Star Care Operations (fictional) · three systems report the same appeals process and none of them agree. Backlog is 423, 611, 509 or 211 depending on which extract you open. This page reconciles 6 KPIs across 3 sources and certifies only the ones that survive the test — 2 of 6.</t>
        </is>
      </c>
      <c r="C3" s="1" t="n"/>
      <c r="D3" s="1" t="n"/>
      <c r="E3" s="1" t="n"/>
      <c r="F3" s="1" t="n"/>
      <c r="G3" s="1" t="n"/>
      <c r="H3" s="1" t="n"/>
      <c r="I3" s="1" t="n"/>
      <c r="J3" s="1" t="n"/>
      <c r="K3" s="1" t="n"/>
      <c r="L3" s="1" t="n"/>
      <c r="M3" s="1" t="n"/>
      <c r="N3" s="1" t="n"/>
      <c r="O3" s="1" t="n"/>
      <c r="P3" s="1" t="n"/>
      <c r="Q3" s="1" t="n"/>
      <c r="R3" s="1" t="n"/>
      <c r="S3" s="1" t="n"/>
      <c r="T3" s="1" t="n"/>
      <c r="U3" s="1" t="n"/>
      <c r="V3" s="1" t="n"/>
      <c r="W3" s="1" t="n"/>
      <c r="X3" s="1" t="n"/>
    </row>
    <row r="4" ht="14"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row>
    <row r="5" ht="14" customHeight="1">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row>
    <row r="6">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row>
    <row r="7" ht="12" customHeight="1">
      <c r="A7" s="1" t="n"/>
      <c r="B7" s="4" t="inlineStr">
        <is>
          <t>KPIS IN CATALOGUE</t>
        </is>
      </c>
      <c r="C7" s="5" t="n"/>
      <c r="D7" s="5" t="n"/>
      <c r="E7" s="5" t="n"/>
      <c r="F7" s="5" t="n"/>
      <c r="G7" s="4" t="inlineStr">
        <is>
          <t>KPIS CERTIFIED</t>
        </is>
      </c>
      <c r="H7" s="5" t="n"/>
      <c r="I7" s="5" t="n"/>
      <c r="J7" s="5" t="n"/>
      <c r="K7" s="5" t="n"/>
      <c r="L7" s="4" t="inlineStr">
        <is>
          <t>RECONCILIATION RATE</t>
        </is>
      </c>
      <c r="M7" s="5" t="n"/>
      <c r="N7" s="5" t="n"/>
      <c r="O7" s="5" t="n"/>
      <c r="P7" s="5" t="n"/>
      <c r="Q7" s="4" t="inlineStr">
        <is>
          <t>PAIRS IN AGREEMENT</t>
        </is>
      </c>
      <c r="R7" s="5" t="n"/>
      <c r="S7" s="5" t="n"/>
      <c r="T7" s="5" t="n"/>
      <c r="U7" s="5" t="n"/>
      <c r="V7" s="1" t="n"/>
      <c r="W7" s="1" t="n"/>
      <c r="X7" s="1" t="n"/>
    </row>
    <row r="8" ht="22" customHeight="1">
      <c r="A8" s="1" t="n"/>
      <c r="B8" s="6" t="inlineStr">
        <is>
          <t>6</t>
        </is>
      </c>
      <c r="C8" s="5" t="n"/>
      <c r="D8" s="5" t="n"/>
      <c r="E8" s="5" t="n"/>
      <c r="F8" s="5" t="n"/>
      <c r="G8" s="7" t="inlineStr">
        <is>
          <t>2</t>
        </is>
      </c>
      <c r="H8" s="5" t="n"/>
      <c r="I8" s="5" t="n"/>
      <c r="J8" s="5" t="n"/>
      <c r="K8" s="5" t="n"/>
      <c r="L8" s="7" t="inlineStr">
        <is>
          <t>38.50%</t>
        </is>
      </c>
      <c r="M8" s="5" t="n"/>
      <c r="N8" s="5" t="n"/>
      <c r="O8" s="5" t="n"/>
      <c r="P8" s="5" t="n"/>
      <c r="Q8" s="6" t="inlineStr">
        <is>
          <t>5</t>
        </is>
      </c>
      <c r="R8" s="5" t="n"/>
      <c r="S8" s="5" t="n"/>
      <c r="T8" s="5" t="n"/>
      <c r="U8" s="5" t="n"/>
      <c r="V8" s="1" t="n"/>
      <c r="W8" s="1" t="n"/>
      <c r="X8" s="1" t="n"/>
    </row>
    <row r="9" ht="12" customHeight="1">
      <c r="A9" s="1" t="n"/>
      <c r="B9" s="8" t="inlineStr"/>
      <c r="C9" s="5" t="n"/>
      <c r="D9" s="5" t="n"/>
      <c r="E9" s="5" t="n"/>
      <c r="F9" s="5" t="n"/>
      <c r="G9" s="8" t="inlineStr">
        <is>
          <t>of 6 — the rest cannot be quoted</t>
        </is>
      </c>
      <c r="H9" s="5" t="n"/>
      <c r="I9" s="5" t="n"/>
      <c r="J9" s="5" t="n"/>
      <c r="K9" s="5" t="n"/>
      <c r="L9" s="8" t="inlineStr">
        <is>
          <t>13 testable KPI-source pairs</t>
        </is>
      </c>
      <c r="M9" s="5" t="n"/>
      <c r="N9" s="5" t="n"/>
      <c r="O9" s="5" t="n"/>
      <c r="P9" s="5" t="n"/>
      <c r="Q9" s="8" t="inlineStr">
        <is>
          <t>of 13 testable</t>
        </is>
      </c>
      <c r="R9" s="5" t="n"/>
      <c r="S9" s="5" t="n"/>
      <c r="T9" s="5" t="n"/>
      <c r="U9" s="5" t="n"/>
      <c r="V9" s="1" t="n"/>
      <c r="W9" s="1" t="n"/>
      <c r="X9" s="1" t="n"/>
    </row>
    <row r="10" ht="12" customHeight="1">
      <c r="A10" s="1" t="n"/>
      <c r="B10" s="5" t="n"/>
      <c r="C10" s="5" t="n"/>
      <c r="D10" s="5" t="n"/>
      <c r="E10" s="5" t="n"/>
      <c r="F10" s="5" t="n"/>
      <c r="G10" s="5" t="n"/>
      <c r="H10" s="5" t="n"/>
      <c r="I10" s="5" t="n"/>
      <c r="J10" s="5" t="n"/>
      <c r="K10" s="5" t="n"/>
      <c r="L10" s="5" t="n"/>
      <c r="M10" s="5" t="n"/>
      <c r="N10" s="5" t="n"/>
      <c r="O10" s="5" t="n"/>
      <c r="P10" s="5" t="n"/>
      <c r="Q10" s="5" t="n"/>
      <c r="R10" s="5" t="n"/>
      <c r="S10" s="5" t="n"/>
      <c r="T10" s="5" t="n"/>
      <c r="U10" s="5" t="n"/>
      <c r="V10" s="1" t="n"/>
      <c r="W10" s="1" t="n"/>
      <c r="X10" s="1" t="n"/>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row>
    <row r="12" ht="12" customHeight="1">
      <c r="A12" s="1" t="n"/>
      <c r="B12" s="4" t="inlineStr">
        <is>
          <t>REPORTING LAYER ROWS</t>
        </is>
      </c>
      <c r="C12" s="5" t="n"/>
      <c r="D12" s="5" t="n"/>
      <c r="E12" s="5" t="n"/>
      <c r="F12" s="5" t="n"/>
      <c r="G12" s="4" t="inlineStr">
        <is>
          <t>CASE MANAGEMENT ROWS</t>
        </is>
      </c>
      <c r="H12" s="5" t="n"/>
      <c r="I12" s="5" t="n"/>
      <c r="J12" s="5" t="n"/>
      <c r="K12" s="5" t="n"/>
      <c r="L12" s="4" t="inlineStr">
        <is>
          <t>DQ EXCEPTIONS</t>
        </is>
      </c>
      <c r="M12" s="5" t="n"/>
      <c r="N12" s="5" t="n"/>
      <c r="O12" s="5" t="n"/>
      <c r="P12" s="5" t="n"/>
      <c r="Q12" s="4" t="inlineStr">
        <is>
          <t>PAIRS NOT TESTABLE</t>
        </is>
      </c>
      <c r="R12" s="5" t="n"/>
      <c r="S12" s="5" t="n"/>
      <c r="T12" s="5" t="n"/>
      <c r="U12" s="5" t="n"/>
      <c r="V12" s="1" t="n"/>
      <c r="W12" s="1" t="n"/>
      <c r="X12" s="1" t="n"/>
    </row>
    <row r="13" ht="22" customHeight="1">
      <c r="A13" s="1" t="n"/>
      <c r="B13" s="6" t="inlineStr">
        <is>
          <t>6,000</t>
        </is>
      </c>
      <c r="C13" s="5" t="n"/>
      <c r="D13" s="5" t="n"/>
      <c r="E13" s="5" t="n"/>
      <c r="F13" s="5" t="n"/>
      <c r="G13" s="9" t="inlineStr">
        <is>
          <t>6,058</t>
        </is>
      </c>
      <c r="H13" s="5" t="n"/>
      <c r="I13" s="5" t="n"/>
      <c r="J13" s="5" t="n"/>
      <c r="K13" s="5" t="n"/>
      <c r="L13" s="9" t="inlineStr">
        <is>
          <t>273</t>
        </is>
      </c>
      <c r="M13" s="5" t="n"/>
      <c r="N13" s="5" t="n"/>
      <c r="O13" s="5" t="n"/>
      <c r="P13" s="5" t="n"/>
      <c r="Q13" s="9" t="inlineStr">
        <is>
          <t>5</t>
        </is>
      </c>
      <c r="R13" s="5" t="n"/>
      <c r="S13" s="5" t="n"/>
      <c r="T13" s="5" t="n"/>
      <c r="U13" s="5" t="n"/>
      <c r="V13" s="1" t="n"/>
      <c r="W13" s="1" t="n"/>
      <c r="X13" s="1" t="n"/>
    </row>
    <row r="14" ht="12" customHeight="1">
      <c r="A14" s="1" t="n"/>
      <c r="B14" s="8" t="inlineStr"/>
      <c r="C14" s="5" t="n"/>
      <c r="D14" s="5" t="n"/>
      <c r="E14" s="5" t="n"/>
      <c r="F14" s="5" t="n"/>
      <c r="G14" s="8" t="inlineStr">
        <is>
          <t>Same period, 58 more appeals than the certified layer</t>
        </is>
      </c>
      <c r="H14" s="5" t="n"/>
      <c r="I14" s="5" t="n"/>
      <c r="J14" s="5" t="n"/>
      <c r="K14" s="5" t="n"/>
      <c r="L14" s="8" t="inlineStr">
        <is>
          <t>1 Critical, 213 High</t>
        </is>
      </c>
      <c r="M14" s="5" t="n"/>
      <c r="N14" s="5" t="n"/>
      <c r="O14" s="5" t="n"/>
      <c r="P14" s="5" t="n"/>
      <c r="Q14" s="8" t="inlineStr">
        <is>
          <t>Source does not carry the field — neither pass nor fail</t>
        </is>
      </c>
      <c r="R14" s="5" t="n"/>
      <c r="S14" s="5" t="n"/>
      <c r="T14" s="5" t="n"/>
      <c r="U14" s="5" t="n"/>
      <c r="V14" s="1" t="n"/>
      <c r="W14" s="1" t="n"/>
      <c r="X14" s="1" t="n"/>
    </row>
    <row r="15" ht="12" customHeight="1">
      <c r="A15" s="1" t="n"/>
      <c r="B15" s="5" t="n"/>
      <c r="C15" s="5" t="n"/>
      <c r="D15" s="5" t="n"/>
      <c r="E15" s="5" t="n"/>
      <c r="F15" s="5" t="n"/>
      <c r="G15" s="5" t="n"/>
      <c r="H15" s="5" t="n"/>
      <c r="I15" s="5" t="n"/>
      <c r="J15" s="5" t="n"/>
      <c r="K15" s="5" t="n"/>
      <c r="L15" s="5" t="n"/>
      <c r="M15" s="5" t="n"/>
      <c r="N15" s="5" t="n"/>
      <c r="O15" s="5" t="n"/>
      <c r="P15" s="5" t="n"/>
      <c r="Q15" s="5" t="n"/>
      <c r="R15" s="5" t="n"/>
      <c r="S15" s="5" t="n"/>
      <c r="T15" s="5" t="n"/>
      <c r="U15" s="5" t="n"/>
      <c r="V15" s="1" t="n"/>
      <c r="W15" s="1" t="n"/>
      <c r="X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row>
    <row r="36">
      <c r="A36" s="1" t="n"/>
      <c r="B36" s="10" t="inlineStr">
        <is>
          <t>Stacked to make the shape obvious: only the two fully green bars can be quoted in a leadership deck.</t>
        </is>
      </c>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c r="A57" s="1" t="n"/>
      <c r="B57" s="10" t="inlineStr">
        <is>
          <t>Open appeals at period end, counted natively in each system. This single chart is why the project exists — nobody was wrong, they were counting different things and calling them the same word.</t>
        </is>
      </c>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c r="A78" s="1" t="n"/>
      <c r="B78" s="10" t="inlineStr">
        <is>
          <t>The leadership extract agrees least often, which matters more than the others because it is the one executives see. It also carries the fewest fields, so fewer of its KPIs are even testable.</t>
        </is>
      </c>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c r="A99" s="1" t="n"/>
      <c r="B99" s="10" t="inlineStr">
        <is>
          <t>Absolute variance between each source and the certified value, worst first. Units differ by row, so read this as a ranking of disagreement rather than a comparison of magnitudes.</t>
        </is>
      </c>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c r="A120" s="1" t="n"/>
      <c r="B120" s="10" t="inlineStr">
        <is>
          <t>Before any KPI is calculated the sources already disagree on how many appeals exist. Reconciling metrics without reconciling record counts first produces confident nonsense.</t>
        </is>
      </c>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c r="A141" s="1" t="n"/>
      <c r="B141" s="10" t="inlineStr">
        <is>
          <t>273 exceptions across the three extracts. The single Critical one blocks a KPI on its own.</t>
        </is>
      </c>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c r="A162" s="1" t="n"/>
      <c r="B162" s="10" t="inlineStr">
        <is>
          <t>Built from the certified layer only. Bars are appeals received on the right axis; the line is SLA compliance, a KPI that is itself uncertified and therefore shown here as a shape rather than a number to quote.</t>
        </is>
      </c>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16" customHeight="1">
      <c r="A165" s="1" t="n"/>
      <c r="B165" s="11" t="inlineStr">
        <is>
          <t>How this workbook is built</t>
        </is>
      </c>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14" customHeight="1">
      <c r="A166" s="1" t="n"/>
      <c r="B166" s="12" t="inlineStr">
        <is>
          <t>Every figure here is produced by a SQL query stored in dashboard/dashboard_config.json and run against data/kpi_trust.db by src/build_bi_assets.py. The q_* sheets are the raw query output; the charts on this sheet read those sheets directly, so the workbook cannot drift away from the analysis in sql/. Rebuild with: python src/load_sqlite.py &amp;&amp; python src/build_bi_assets.py</t>
        </is>
      </c>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14" customHeight="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14"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16" customHeight="1">
      <c r="A170" s="1" t="n"/>
      <c r="B170" s="11" t="inlineStr">
        <is>
          <t>Limitations</t>
        </is>
      </c>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14" customHeight="1">
      <c r="A171" s="1" t="n"/>
      <c r="B171" s="12" t="inlineStr">
        <is>
          <t>Tolerance bands are set by judgement, not by a measurement-error model, so a KPI marked within tolerance is agreed, not proven correct. The certified value is the authoritative source's value — being certified means the sources agree, not that reality was observed. 5 of 18 KPI-source pairs are untestable because the source does not carry the field, and an untestable pair is neither a pass nor a fail. The data is fully synthetic.</t>
        </is>
      </c>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14"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14" customHeight="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14"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13" customHeight="1">
      <c r="A176" s="1" t="n"/>
      <c r="B176" s="13" t="inlineStr">
        <is>
          <t>Source: synthetic extracts generated by src/generate_sources.py, reconciled by src/reconcile.py. No employer data, patient information, protected health information or confidential business information is used.</t>
        </is>
      </c>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13" customHeight="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13" customHeight="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sheetData>
  <mergeCells count="38">
    <mergeCell ref="Q7:U7"/>
    <mergeCell ref="Q9:U10"/>
    <mergeCell ref="B7:F7"/>
    <mergeCell ref="B36:V37"/>
    <mergeCell ref="B2:V2"/>
    <mergeCell ref="G12:K12"/>
    <mergeCell ref="Q12:U12"/>
    <mergeCell ref="L7:P7"/>
    <mergeCell ref="B99:V100"/>
    <mergeCell ref="B171:V174"/>
    <mergeCell ref="G14:K15"/>
    <mergeCell ref="B176:V178"/>
    <mergeCell ref="L13:P13"/>
    <mergeCell ref="G8:K8"/>
    <mergeCell ref="B141:V142"/>
    <mergeCell ref="B170:V170"/>
    <mergeCell ref="B9:F10"/>
    <mergeCell ref="Q8:U8"/>
    <mergeCell ref="B12:F12"/>
    <mergeCell ref="L12:P12"/>
    <mergeCell ref="G7:K7"/>
    <mergeCell ref="L9:P10"/>
    <mergeCell ref="B166:V168"/>
    <mergeCell ref="G13:K13"/>
    <mergeCell ref="B8:F8"/>
    <mergeCell ref="B13:F13"/>
    <mergeCell ref="L8:P8"/>
    <mergeCell ref="G9:K10"/>
    <mergeCell ref="B120:V121"/>
    <mergeCell ref="Q14:U15"/>
    <mergeCell ref="B57:V58"/>
    <mergeCell ref="B78:V79"/>
    <mergeCell ref="B165:V165"/>
    <mergeCell ref="B3:V5"/>
    <mergeCell ref="L14:P15"/>
    <mergeCell ref="B14:F15"/>
    <mergeCell ref="B162:V163"/>
    <mergeCell ref="Q13:U13"/>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 width="17" customWidth="1" min="3" max="3"/>
  </cols>
  <sheetData>
    <row r="1">
      <c r="A1" s="14" t="inlineStr">
        <is>
          <t>kpi</t>
        </is>
      </c>
      <c r="B1" s="14" t="inlineStr">
        <is>
          <t>Sources within tolerance</t>
        </is>
      </c>
      <c r="C1" s="14" t="inlineStr">
        <is>
          <t>Sources outside tolerance</t>
        </is>
      </c>
    </row>
    <row r="2">
      <c r="A2" t="inlineStr">
        <is>
          <t>KPI-01</t>
        </is>
      </c>
      <c r="B2" t="n">
        <v>0</v>
      </c>
      <c r="C2" t="n">
        <v>3</v>
      </c>
    </row>
    <row r="3">
      <c r="A3" t="inlineStr">
        <is>
          <t>KPI-02</t>
        </is>
      </c>
      <c r="B3" t="n">
        <v>0</v>
      </c>
      <c r="C3" t="n">
        <v>3</v>
      </c>
    </row>
    <row r="4">
      <c r="A4" t="inlineStr">
        <is>
          <t>KPI-03</t>
        </is>
      </c>
      <c r="B4" t="n">
        <v>2</v>
      </c>
      <c r="C4" t="n">
        <v>1</v>
      </c>
    </row>
    <row r="5">
      <c r="A5" t="inlineStr">
        <is>
          <t>KPI-04</t>
        </is>
      </c>
      <c r="B5" t="n">
        <v>1</v>
      </c>
      <c r="C5" t="n">
        <v>1</v>
      </c>
    </row>
    <row r="6">
      <c r="A6" t="inlineStr">
        <is>
          <t>KPI-05</t>
        </is>
      </c>
      <c r="B6" t="n">
        <v>1</v>
      </c>
      <c r="C6" t="n">
        <v>0</v>
      </c>
    </row>
    <row r="7">
      <c r="A7" t="inlineStr">
        <is>
          <t>KPI-06</t>
        </is>
      </c>
      <c r="B7" t="n">
        <v>1</v>
      </c>
      <c r="C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s>
  <sheetData>
    <row r="1">
      <c r="A1" s="14" t="inlineStr">
        <is>
          <t>source</t>
        </is>
      </c>
      <c r="B1" s="14" t="inlineStr">
        <is>
          <t>Open appeals reported</t>
        </is>
      </c>
    </row>
    <row r="2">
      <c r="A2" t="inlineStr">
        <is>
          <t>Certified (reporting layer)</t>
        </is>
      </c>
      <c r="B2" t="n">
        <v>423</v>
      </c>
    </row>
    <row r="3">
      <c r="A3" t="inlineStr">
        <is>
          <t>Case management export</t>
        </is>
      </c>
      <c r="B3" t="n">
        <v>481</v>
      </c>
    </row>
    <row r="4">
      <c r="A4" t="inlineStr">
        <is>
          <t>Workflow tracker</t>
        </is>
      </c>
      <c r="B4" t="n">
        <v>509</v>
      </c>
    </row>
    <row r="5">
      <c r="A5" t="inlineStr">
        <is>
          <t>Leadership extract</t>
        </is>
      </c>
      <c r="B5" t="n">
        <v>307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s>
  <sheetData>
    <row r="1">
      <c r="A1" s="14" t="inlineStr">
        <is>
          <t>Source</t>
        </is>
      </c>
      <c r="B1" s="14" t="inlineStr">
        <is>
          <t>Within tolerance %</t>
        </is>
      </c>
    </row>
    <row r="2">
      <c r="A2" t="inlineStr">
        <is>
          <t>Case management</t>
        </is>
      </c>
      <c r="B2" t="n">
        <v>50</v>
      </c>
    </row>
    <row r="3">
      <c r="A3" t="inlineStr">
        <is>
          <t>Workflow tracker</t>
        </is>
      </c>
      <c r="B3" t="n">
        <v>40</v>
      </c>
    </row>
    <row r="4">
      <c r="A4" t="inlineStr">
        <is>
          <t>Leadership extract</t>
        </is>
      </c>
      <c r="B4"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s>
  <sheetData>
    <row r="1">
      <c r="A1" s="14" t="inlineStr">
        <is>
          <t>pair</t>
        </is>
      </c>
      <c r="B1" s="14" t="inlineStr">
        <is>
          <t>Variance from certified value</t>
        </is>
      </c>
    </row>
    <row r="2">
      <c r="A2" t="inlineStr">
        <is>
          <t>KPI-01 · Leadership extract</t>
        </is>
      </c>
      <c r="B2" t="n">
        <v>-257</v>
      </c>
    </row>
    <row r="3">
      <c r="A3" t="inlineStr">
        <is>
          <t>KPI-02 · Leadership extract</t>
        </is>
      </c>
      <c r="B3" t="n">
        <v>-212</v>
      </c>
    </row>
    <row r="4">
      <c r="A4" t="inlineStr">
        <is>
          <t>KPI-02 · Case management</t>
        </is>
      </c>
      <c r="B4" t="n">
        <v>188</v>
      </c>
    </row>
    <row r="5">
      <c r="A5" t="inlineStr">
        <is>
          <t>KPI-02 · Workflow tracker</t>
        </is>
      </c>
      <c r="B5" t="n">
        <v>86</v>
      </c>
    </row>
    <row r="6">
      <c r="A6" t="inlineStr">
        <is>
          <t>KPI-01 · Workflow tracker</t>
        </is>
      </c>
      <c r="B6" t="n">
        <v>-65</v>
      </c>
    </row>
    <row r="7">
      <c r="A7" t="inlineStr">
        <is>
          <t>KPI-01 · Case management</t>
        </is>
      </c>
      <c r="B7" t="n">
        <v>58</v>
      </c>
    </row>
    <row r="8">
      <c r="A8" t="inlineStr">
        <is>
          <t>KPI-04 · Leadership extract</t>
        </is>
      </c>
      <c r="B8" t="n">
        <v>-1.8</v>
      </c>
    </row>
    <row r="9">
      <c r="A9" t="inlineStr">
        <is>
          <t>KPI-03 · Workflow tracker</t>
        </is>
      </c>
      <c r="B9" t="n">
        <v>-1</v>
      </c>
    </row>
    <row r="10">
      <c r="A10" t="inlineStr">
        <is>
          <t>KPI-05 · Workflow tracker</t>
        </is>
      </c>
      <c r="B10" t="n">
        <v>0.8100000000000001</v>
      </c>
    </row>
    <row r="11">
      <c r="A11" t="inlineStr">
        <is>
          <t>KPI-06 · Workflow tracker</t>
        </is>
      </c>
      <c r="B11" t="n">
        <v>0.16</v>
      </c>
    </row>
    <row r="12">
      <c r="A12" t="inlineStr">
        <is>
          <t>KPI-03 · Case management</t>
        </is>
      </c>
      <c r="B12" t="n">
        <v>0</v>
      </c>
    </row>
    <row r="13">
      <c r="A13" t="inlineStr">
        <is>
          <t>KPI-03 · Leadership extract</t>
        </is>
      </c>
      <c r="B13" t="n">
        <v>0</v>
      </c>
    </row>
    <row r="14">
      <c r="A14" t="inlineStr">
        <is>
          <t>KPI-04 · Case management</t>
        </is>
      </c>
      <c r="B1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s>
  <sheetData>
    <row r="1">
      <c r="A1" s="14" t="inlineStr">
        <is>
          <t>source</t>
        </is>
      </c>
      <c r="B1" s="14" t="inlineStr">
        <is>
          <t>Rows in source</t>
        </is>
      </c>
    </row>
    <row r="2">
      <c r="A2" t="inlineStr">
        <is>
          <t>Reporting layer (certified)</t>
        </is>
      </c>
      <c r="B2" t="n">
        <v>6000</v>
      </c>
    </row>
    <row r="3">
      <c r="A3" t="inlineStr">
        <is>
          <t>Case management export</t>
        </is>
      </c>
      <c r="B3" t="n">
        <v>6058</v>
      </c>
    </row>
    <row r="4">
      <c r="A4" t="inlineStr">
        <is>
          <t>Workflow tracker export</t>
        </is>
      </c>
      <c r="B4" t="n">
        <v>5935</v>
      </c>
    </row>
    <row r="5">
      <c r="A5" t="inlineStr">
        <is>
          <t>Leadership reporting extract</t>
        </is>
      </c>
      <c r="B5" t="n">
        <v>5743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s>
  <sheetData>
    <row r="1">
      <c r="A1" s="14" t="inlineStr">
        <is>
          <t>Severity</t>
        </is>
      </c>
      <c r="B1" s="14" t="inlineStr">
        <is>
          <t>Exceptions</t>
        </is>
      </c>
    </row>
    <row r="2">
      <c r="A2" t="inlineStr">
        <is>
          <t>High</t>
        </is>
      </c>
      <c r="B2" t="n">
        <v>213</v>
      </c>
    </row>
    <row r="3">
      <c r="A3" t="inlineStr">
        <is>
          <t>Medium</t>
        </is>
      </c>
      <c r="B3" t="n">
        <v>59</v>
      </c>
    </row>
    <row r="4">
      <c r="A4" t="inlineStr">
        <is>
          <t>Critical</t>
        </is>
      </c>
      <c r="B4"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 width="17" customWidth="1" min="3" max="3"/>
    <col width="17" customWidth="1" min="4" max="4"/>
  </cols>
  <sheetData>
    <row r="1">
      <c r="A1" s="14" t="inlineStr">
        <is>
          <t>month</t>
        </is>
      </c>
      <c r="B1" s="14" t="inlineStr">
        <is>
          <t>SLA compliance %</t>
        </is>
      </c>
      <c r="C1" s="14" t="inlineStr">
        <is>
          <t>Appeals received</t>
        </is>
      </c>
      <c r="D1" s="14" t="inlineStr">
        <is>
          <t>Still open</t>
        </is>
      </c>
    </row>
    <row r="2">
      <c r="A2" t="inlineStr">
        <is>
          <t>2026-01</t>
        </is>
      </c>
      <c r="B2" t="n">
        <v>65.94</v>
      </c>
      <c r="C2" t="n">
        <v>980</v>
      </c>
      <c r="D2" t="n">
        <v>17</v>
      </c>
    </row>
    <row r="3">
      <c r="A3" t="inlineStr">
        <is>
          <t>2026-02</t>
        </is>
      </c>
      <c r="B3" t="n">
        <v>65.20999999999999</v>
      </c>
      <c r="C3" t="n">
        <v>909</v>
      </c>
      <c r="D3" t="n">
        <v>15</v>
      </c>
    </row>
    <row r="4">
      <c r="A4" t="inlineStr">
        <is>
          <t>2026-03</t>
        </is>
      </c>
      <c r="B4" t="n">
        <v>65.92</v>
      </c>
      <c r="C4" t="n">
        <v>1042</v>
      </c>
      <c r="D4" t="n">
        <v>15</v>
      </c>
    </row>
    <row r="5">
      <c r="A5" t="inlineStr">
        <is>
          <t>2026-04</t>
        </is>
      </c>
      <c r="B5" t="n">
        <v>68.22</v>
      </c>
      <c r="C5" t="n">
        <v>1005</v>
      </c>
      <c r="D5" t="n">
        <v>20</v>
      </c>
    </row>
    <row r="6">
      <c r="A6" t="inlineStr">
        <is>
          <t>2026-05</t>
        </is>
      </c>
      <c r="B6" t="n">
        <v>66.31</v>
      </c>
      <c r="C6" t="n">
        <v>1042</v>
      </c>
      <c r="D6" t="n">
        <v>21</v>
      </c>
    </row>
    <row r="7">
      <c r="A7" t="inlineStr">
        <is>
          <t>2026-06</t>
        </is>
      </c>
      <c r="B7" t="n">
        <v>72.48999999999999</v>
      </c>
      <c r="C7" t="n">
        <v>1022</v>
      </c>
      <c r="D7" t="n">
        <v>335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2026-09-23T23:50:00Z</dcterms:created>
  <dcterms:modified xmlns:dcterms="http://purl.org/dc/terms/" xmlns:xsi="http://www.w3.org/2001/XMLSchema-instance" xsi:type="dcterms:W3CDTF">2026-09-23T23:50:00Z</dcterms:modified>
</cp:coreProperties>
</file>